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prapti\Excel\"/>
    </mc:Choice>
  </mc:AlternateContent>
  <bookViews>
    <workbookView xWindow="0" yWindow="0" windowWidth="17256" windowHeight="4908" activeTab="6"/>
  </bookViews>
  <sheets>
    <sheet name="count_of_employee" sheetId="4" r:id="rId1"/>
    <sheet name="Peformance" sheetId="10" r:id="rId2"/>
    <sheet name="Risk" sheetId="14" r:id="rId3"/>
    <sheet name="Data" sheetId="2" r:id="rId4"/>
    <sheet name="Sheet1" sheetId="15" r:id="rId5"/>
    <sheet name="Report" sheetId="1" r:id="rId6"/>
    <sheet name="About" sheetId="16" r:id="rId7"/>
  </sheets>
  <calcPr calcId="162913"/>
  <pivotCaches>
    <pivotCache cacheId="0"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15" l="1"/>
  <c r="C6" i="15"/>
  <c r="C7" i="15"/>
  <c r="C8" i="15"/>
  <c r="C9" i="15"/>
  <c r="C4" i="15"/>
  <c r="K2" i="2" l="1"/>
  <c r="K3" i="2"/>
  <c r="K4" i="2"/>
  <c r="K5" i="2"/>
  <c r="K6" i="2"/>
  <c r="K7" i="2"/>
  <c r="K8" i="2"/>
  <c r="K9" i="2"/>
  <c r="K10" i="2"/>
  <c r="K11" i="2"/>
  <c r="K12" i="2"/>
  <c r="K13" i="2"/>
  <c r="K14" i="2"/>
  <c r="K15" i="2"/>
  <c r="K16" i="2"/>
  <c r="K17" i="2"/>
  <c r="K18" i="2"/>
  <c r="K19" i="2"/>
  <c r="K20" i="2"/>
  <c r="K21" i="2"/>
  <c r="K22" i="2"/>
  <c r="K23" i="2"/>
  <c r="K24" i="2"/>
  <c r="K25" i="2"/>
  <c r="K26" i="2"/>
  <c r="J2" i="2"/>
  <c r="J3" i="2" l="1"/>
  <c r="J4" i="2"/>
  <c r="J5" i="2"/>
  <c r="J6" i="2"/>
  <c r="J7" i="2"/>
  <c r="J8" i="2"/>
  <c r="J9" i="2"/>
  <c r="J10" i="2"/>
  <c r="J11" i="2"/>
  <c r="J12" i="2"/>
  <c r="J13" i="2"/>
  <c r="J14" i="2"/>
  <c r="J15" i="2"/>
  <c r="J16" i="2"/>
  <c r="J17" i="2"/>
  <c r="J18" i="2"/>
  <c r="J19" i="2"/>
  <c r="J20" i="2"/>
  <c r="J21" i="2"/>
  <c r="J22" i="2"/>
  <c r="J23" i="2"/>
  <c r="J24" i="2"/>
  <c r="J25" i="2"/>
  <c r="J26" i="2"/>
</calcChain>
</file>

<file path=xl/sharedStrings.xml><?xml version="1.0" encoding="utf-8"?>
<sst xmlns="http://schemas.openxmlformats.org/spreadsheetml/2006/main" count="85" uniqueCount="36">
  <si>
    <t>Dept</t>
  </si>
  <si>
    <t>Role</t>
  </si>
  <si>
    <t>Age</t>
  </si>
  <si>
    <t>Experience</t>
  </si>
  <si>
    <t>Salary</t>
  </si>
  <si>
    <t>PerformanceScore</t>
  </si>
  <si>
    <t>Tenure</t>
  </si>
  <si>
    <t>TrainingHours</t>
  </si>
  <si>
    <t>Retail</t>
  </si>
  <si>
    <t>Analyst</t>
  </si>
  <si>
    <t>Digital</t>
  </si>
  <si>
    <t>Project 1A: HR Analyst for Banks: Workforce Planning, Performance Management &amp; Talent Analytics</t>
  </si>
  <si>
    <t>EmpID</t>
  </si>
  <si>
    <t>Risk</t>
  </si>
  <si>
    <t>HR</t>
  </si>
  <si>
    <t>Operationl</t>
  </si>
  <si>
    <t>Data Executive</t>
  </si>
  <si>
    <t>Risk Officer</t>
  </si>
  <si>
    <t>Cashier</t>
  </si>
  <si>
    <t>Hiring</t>
  </si>
  <si>
    <t xml:space="preserve">Relationship Manager </t>
  </si>
  <si>
    <t>Risk Manager</t>
  </si>
  <si>
    <t>Senior Analyst</t>
  </si>
  <si>
    <t>Row Labels</t>
  </si>
  <si>
    <t>Grand Total</t>
  </si>
  <si>
    <t>Count of EmpID</t>
  </si>
  <si>
    <t xml:space="preserve">Data Executive </t>
  </si>
  <si>
    <t>PerformanceLevel</t>
  </si>
  <si>
    <t>Average Performer</t>
  </si>
  <si>
    <t>High Performer</t>
  </si>
  <si>
    <t>Low Performer</t>
  </si>
  <si>
    <t xml:space="preserve">AttritionRisk
</t>
  </si>
  <si>
    <t>High Risk</t>
  </si>
  <si>
    <t>Low Risk</t>
  </si>
  <si>
    <t>VLOOKUP</t>
  </si>
  <si>
    <t>🏦 Problem Statement (Short)
Banks need data-driven insights to manage workforce distribution, employee performance, and potential attrition risk effectively. The challenge is to analyze HR data and support better decision-making in workforce planning, performance evaluation, and talent retention.
✅ What I Did (Short Summary)
I created and analyzed a bank employee dataset using Excel.
I performed:
Workforce Planning by analyzing department-wise headcount using Pivot Tables.
Performance Management by classifying employees into High, Average, and Low performers based on performance scores.
Talent Analytics by identifying employees at risk of attrition using tenure and performance data.
I generated charts and provided data-driven HR recommendations for better workforce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</si>
</sst>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5"/>
      <color theme="4" tint="0.59999389629810485"/>
      <name val="Arial"/>
      <family val="2"/>
    </font>
    <font>
      <b/>
      <sz val="11"/>
      <color theme="1"/>
      <name val="Calibri"/>
      <scheme val="minor"/>
    </font>
    <font>
      <b/>
      <sz val="14"/>
      <color theme="9" tint="-0.499984740745262"/>
      <name val="Arial Black"/>
      <family val="2"/>
    </font>
  </fonts>
  <fills count="5">
    <fill>
      <patternFill patternType="none"/>
    </fill>
    <fill>
      <patternFill patternType="gray125"/>
    </fill>
    <fill>
      <patternFill patternType="solid">
        <fgColor theme="0" tint="-4.9989318521683403E-2"/>
        <bgColor indexed="64"/>
      </patternFill>
    </fill>
    <fill>
      <patternFill patternType="solid">
        <fgColor theme="2" tint="-0.89999084444715716"/>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0" fontId="5" fillId="0" borderId="0" xfId="0" applyFont="1" applyAlignment="1">
      <alignment horizontal="center" vertical="center" wrapText="1"/>
    </xf>
    <xf numFmtId="0" fontId="0" fillId="2" borderId="0" xfId="0" applyFill="1" applyBorder="1"/>
    <xf numFmtId="0" fontId="2" fillId="2" borderId="0" xfId="0" applyFont="1" applyFill="1" applyBorder="1"/>
    <xf numFmtId="0" fontId="3" fillId="2" borderId="0" xfId="0" applyFont="1" applyFill="1" applyBorder="1"/>
    <xf numFmtId="0" fontId="6" fillId="4" borderId="0" xfId="0" applyFont="1" applyFill="1" applyAlignment="1">
      <alignment horizontal="center"/>
    </xf>
    <xf numFmtId="0" fontId="4" fillId="3" borderId="0" xfId="0" applyFont="1" applyFill="1" applyBorder="1" applyAlignment="1">
      <alignment horizontal="center"/>
    </xf>
    <xf numFmtId="0" fontId="0" fillId="0" borderId="0" xfId="0" applyAlignment="1">
      <alignment horizontal="center" wrapText="1"/>
    </xf>
  </cellXfs>
  <cellStyles count="1">
    <cellStyle name="Normal" xfId="0" builtinId="0"/>
  </cellStyles>
  <dxfs count="13">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[Project_A.xlsx]count_of_employee!PivotTable1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count_of_employee!$B$3</c:f>
              <c:strCache>
                <c:ptCount val="1"/>
                <c:pt idx="0">
                  <c:v>Total</c:v>
                </c:pt>
              </c:strCache>
            </c:strRef>
          </c:tx>
          <c:spPr>
            <a:solidFill>
              <a:schemeClr val="accent1"/>
            </a:solidFill>
            <a:ln>
              <a:noFill/>
            </a:ln>
            <a:effectLst/>
          </c:spPr>
          <c:invertIfNegative val="0"/>
          <c:cat>
            <c:strRef>
              <c:f>count_of_employee!$A$4:$A$9</c:f>
              <c:strCache>
                <c:ptCount val="5"/>
                <c:pt idx="0">
                  <c:v>Digital</c:v>
                </c:pt>
                <c:pt idx="1">
                  <c:v>HR</c:v>
                </c:pt>
                <c:pt idx="2">
                  <c:v>Operationl</c:v>
                </c:pt>
                <c:pt idx="3">
                  <c:v>Retail</c:v>
                </c:pt>
                <c:pt idx="4">
                  <c:v>Risk</c:v>
                </c:pt>
              </c:strCache>
            </c:strRef>
          </c:cat>
          <c:val>
            <c:numRef>
              <c:f>count_of_employee!$B$4:$B$9</c:f>
              <c:numCache>
                <c:formatCode>General</c:formatCode>
                <c:ptCount val="5"/>
                <c:pt idx="0">
                  <c:v>6</c:v>
                </c:pt>
                <c:pt idx="1">
                  <c:v>5</c:v>
                </c:pt>
                <c:pt idx="2">
                  <c:v>5</c:v>
                </c:pt>
                <c:pt idx="3">
                  <c:v>4</c:v>
                </c:pt>
                <c:pt idx="4">
                  <c:v>5</c:v>
                </c:pt>
              </c:numCache>
            </c:numRef>
          </c:val>
          <c:extLst>
            <c:ext xmlns:c16="http://schemas.microsoft.com/office/drawing/2014/chart" uri="{C3380CC4-5D6E-409C-BE32-E72D297353CC}">
              <c16:uniqueId val="{00000000-8B2B-4F07-A1D3-D98DF4293A51}"/>
            </c:ext>
          </c:extLst>
        </c:ser>
        <c:dLbls>
          <c:showLegendKey val="0"/>
          <c:showVal val="0"/>
          <c:showCatName val="0"/>
          <c:showSerName val="0"/>
          <c:showPercent val="0"/>
          <c:showBubbleSize val="0"/>
        </c:dLbls>
        <c:gapWidth val="219"/>
        <c:overlap val="-27"/>
        <c:axId val="1718155712"/>
        <c:axId val="1718161952"/>
      </c:barChart>
      <c:catAx>
        <c:axId val="17181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161952"/>
        <c:crosses val="autoZero"/>
        <c:auto val="1"/>
        <c:lblAlgn val="ctr"/>
        <c:lblOffset val="100"/>
        <c:noMultiLvlLbl val="0"/>
      </c:catAx>
      <c:valAx>
        <c:axId val="171816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155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[Project_A.xlsx]Peformance!PivotTable5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Peformance!$B$3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33-478A-A938-D8A62F3C1E79}"/>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33-478A-A938-D8A62F3C1E79}"/>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33-478A-A938-D8A62F3C1E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Peformance!$A$4:$A$7</c:f>
              <c:strCache>
                <c:ptCount val="3"/>
                <c:pt idx="0">
                  <c:v>Average Performer</c:v>
                </c:pt>
                <c:pt idx="1">
                  <c:v>High Performer</c:v>
                </c:pt>
                <c:pt idx="2">
                  <c:v>Low Performer</c:v>
                </c:pt>
              </c:strCache>
            </c:strRef>
          </c:cat>
          <c:val>
            <c:numRef>
              <c:f>Peformance!$B$4:$B$7</c:f>
              <c:numCache>
                <c:formatCode>General</c:formatCode>
                <c:ptCount val="3"/>
                <c:pt idx="0">
                  <c:v>12</c:v>
                </c:pt>
                <c:pt idx="1">
                  <c:v>10</c:v>
                </c:pt>
                <c:pt idx="2">
                  <c:v>3</c:v>
                </c:pt>
              </c:numCache>
            </c:numRef>
          </c:val>
          <c:extLst>
            <c:ext xmlns:c16="http://schemas.microsoft.com/office/drawing/2014/chart" uri="{C3380CC4-5D6E-409C-BE32-E72D297353CC}">
              <c16:uniqueId val="{00000000-E53E-4DE8-AD8F-475DF7F4E0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[Project_A.xlsx]Risk!PivotTable7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Risk!$B$3</c:f>
              <c:strCache>
                <c:ptCount val="1"/>
                <c:pt idx="0">
                  <c:v>Total</c:v>
                </c:pt>
              </c:strCache>
            </c:strRef>
          </c:tx>
          <c:spPr>
            <a:solidFill>
              <a:schemeClr val="accent1"/>
            </a:solidFill>
            <a:ln>
              <a:noFill/>
            </a:ln>
            <a:effectLst/>
          </c:spPr>
          <c:invertIfNegative val="0"/>
          <c:cat>
            <c:strRef>
              <c:f>Risk!$A$4:$A$6</c:f>
              <c:strCache>
                <c:ptCount val="2"/>
                <c:pt idx="0">
                  <c:v>High Risk</c:v>
                </c:pt>
                <c:pt idx="1">
                  <c:v>Low Risk</c:v>
                </c:pt>
              </c:strCache>
            </c:strRef>
          </c:cat>
          <c:val>
            <c:numRef>
              <c:f>Risk!$B$4:$B$6</c:f>
              <c:numCache>
                <c:formatCode>General</c:formatCode>
                <c:ptCount val="2"/>
                <c:pt idx="0">
                  <c:v>3</c:v>
                </c:pt>
                <c:pt idx="1">
                  <c:v>22</c:v>
                </c:pt>
              </c:numCache>
            </c:numRef>
          </c:val>
          <c:extLst>
            <c:ext xmlns:c16="http://schemas.microsoft.com/office/drawing/2014/chart" uri="{C3380CC4-5D6E-409C-BE32-E72D297353CC}">
              <c16:uniqueId val="{00000000-81CD-4ECD-AD58-4532E8415D10}"/>
            </c:ext>
          </c:extLst>
        </c:ser>
        <c:dLbls>
          <c:showLegendKey val="0"/>
          <c:showVal val="0"/>
          <c:showCatName val="0"/>
          <c:showSerName val="0"/>
          <c:showPercent val="0"/>
          <c:showBubbleSize val="0"/>
        </c:dLbls>
        <c:gapWidth val="219"/>
        <c:overlap val="-27"/>
        <c:axId val="318309599"/>
        <c:axId val="196417839"/>
      </c:barChart>
      <c:catAx>
        <c:axId val="3183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17839"/>
        <c:crosses val="autoZero"/>
        <c:auto val="1"/>
        <c:lblAlgn val="ctr"/>
        <c:lblOffset val="100"/>
        <c:noMultiLvlLbl val="0"/>
      </c:catAx>
      <c:valAx>
        <c:axId val="19641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0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[Project_A.xlsx]Peformance!PivotTable5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Performance</a:t>
            </a:r>
            <a:r>
              <a:rPr lang="en-US" baseline="0"/>
              <a:t> Level</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65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hade val="65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Peformance!$B$3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AC-412E-BFB3-AA9715A97FCA}"/>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AC-412E-BFB3-AA9715A97FCA}"/>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CAC-412E-BFB3-AA9715A97F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Peformance!$A$4:$A$7</c:f>
              <c:strCache>
                <c:ptCount val="3"/>
                <c:pt idx="0">
                  <c:v>Average Performer</c:v>
                </c:pt>
                <c:pt idx="1">
                  <c:v>High Performer</c:v>
                </c:pt>
                <c:pt idx="2">
                  <c:v>Low Performer</c:v>
                </c:pt>
              </c:strCache>
            </c:strRef>
          </c:cat>
          <c:val>
            <c:numRef>
              <c:f>Peformance!$B$4:$B$7</c:f>
              <c:numCache>
                <c:formatCode>General</c:formatCode>
                <c:ptCount val="3"/>
                <c:pt idx="0">
                  <c:v>12</c:v>
                </c:pt>
                <c:pt idx="1">
                  <c:v>10</c:v>
                </c:pt>
                <c:pt idx="2">
                  <c:v>3</c:v>
                </c:pt>
              </c:numCache>
            </c:numRef>
          </c:val>
          <c:extLst>
            <c:ext xmlns:c16="http://schemas.microsoft.com/office/drawing/2014/chart" uri="{C3380CC4-5D6E-409C-BE32-E72D297353CC}">
              <c16:uniqueId val="{00000006-3CAC-412E-BFB3-AA9715A97F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[Project_A.xlsx]count_of_employee!PivotTable1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Department</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count_of_employee!$B$3</c:f>
              <c:strCache>
                <c:ptCount val="1"/>
                <c:pt idx="0">
                  <c:v>Total</c:v>
                </c:pt>
              </c:strCache>
            </c:strRef>
          </c:tx>
          <c:spPr>
            <a:solidFill>
              <a:schemeClr val="accent1"/>
            </a:solidFill>
            <a:ln>
              <a:noFill/>
            </a:ln>
            <a:effectLst/>
          </c:spPr>
          <c:invertIfNegative val="0"/>
          <c:cat>
            <c:strRef>
              <c:f>count_of_employee!$A$4:$A$9</c:f>
              <c:strCache>
                <c:ptCount val="5"/>
                <c:pt idx="0">
                  <c:v>Digital</c:v>
                </c:pt>
                <c:pt idx="1">
                  <c:v>HR</c:v>
                </c:pt>
                <c:pt idx="2">
                  <c:v>Operationl</c:v>
                </c:pt>
                <c:pt idx="3">
                  <c:v>Retail</c:v>
                </c:pt>
                <c:pt idx="4">
                  <c:v>Risk</c:v>
                </c:pt>
              </c:strCache>
            </c:strRef>
          </c:cat>
          <c:val>
            <c:numRef>
              <c:f>count_of_employee!$B$4:$B$9</c:f>
              <c:numCache>
                <c:formatCode>General</c:formatCode>
                <c:ptCount val="5"/>
                <c:pt idx="0">
                  <c:v>6</c:v>
                </c:pt>
                <c:pt idx="1">
                  <c:v>5</c:v>
                </c:pt>
                <c:pt idx="2">
                  <c:v>5</c:v>
                </c:pt>
                <c:pt idx="3">
                  <c:v>4</c:v>
                </c:pt>
                <c:pt idx="4">
                  <c:v>5</c:v>
                </c:pt>
              </c:numCache>
            </c:numRef>
          </c:val>
          <c:extLst>
            <c:ext xmlns:c16="http://schemas.microsoft.com/office/drawing/2014/chart" uri="{C3380CC4-5D6E-409C-BE32-E72D297353CC}">
              <c16:uniqueId val="{00000000-C3BE-4906-BB9E-95595D248053}"/>
            </c:ext>
          </c:extLst>
        </c:ser>
        <c:dLbls>
          <c:showLegendKey val="0"/>
          <c:showVal val="0"/>
          <c:showCatName val="0"/>
          <c:showSerName val="0"/>
          <c:showPercent val="0"/>
          <c:showBubbleSize val="0"/>
        </c:dLbls>
        <c:gapWidth val="219"/>
        <c:overlap val="-27"/>
        <c:axId val="1718155712"/>
        <c:axId val="1718161952"/>
      </c:barChart>
      <c:catAx>
        <c:axId val="17181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161952"/>
        <c:crosses val="autoZero"/>
        <c:auto val="1"/>
        <c:lblAlgn val="ctr"/>
        <c:lblOffset val="100"/>
        <c:noMultiLvlLbl val="0"/>
      </c:catAx>
      <c:valAx>
        <c:axId val="171816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155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[Project_A.xlsx]Risk!PivotTable7</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AttritionRisk</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Risk!$B$3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Risk!$A$4:$A$6</c:f>
              <c:strCache>
                <c:ptCount val="2"/>
                <c:pt idx="0">
                  <c:v>High Risk</c:v>
                </c:pt>
                <c:pt idx="1">
                  <c:v>Low Risk</c:v>
                </c:pt>
              </c:strCache>
            </c:strRef>
          </c:cat>
          <c:val>
            <c:numRef>
              <c:f>Risk!$B$4:$B$6</c:f>
              <c:numCache>
                <c:formatCode>General</c:formatCode>
                <c:ptCount val="2"/>
                <c:pt idx="0">
                  <c:v>3</c:v>
                </c:pt>
                <c:pt idx="1">
                  <c:v>22</c:v>
                </c:pt>
              </c:numCache>
            </c:numRef>
          </c:val>
          <c:extLst>
            <c:ext xmlns:c16="http://schemas.microsoft.com/office/drawing/2014/chart" uri="{C3380CC4-5D6E-409C-BE32-E72D297353CC}">
              <c16:uniqueId val="{00000000-2B6C-4959-B11D-C93B056D47FB}"/>
            </c:ext>
          </c:extLst>
        </c:ser>
        <c:dLbls>
          <c:dLblPos val="outEnd"/>
          <c:showLegendKey val="0"/>
          <c:showVal val="1"/>
          <c:showCatName val="0"/>
          <c:showSerName val="0"/>
          <c:showPercent val="0"/>
          <c:showBubbleSize val="0"/>
        </c:dLbls>
        <c:gapWidth val="444"/>
        <c:overlap val="-90"/>
        <c:axId val="318309599"/>
        <c:axId val="196417839"/>
      </c:barChart>
      <c:catAx>
        <c:axId val="31830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417839"/>
        <c:crosses val="autoZero"/>
        <c:auto val="1"/>
        <c:lblAlgn val="ctr"/>
        <c:lblOffset val="100"/>
        <c:noMultiLvlLbl val="0"/>
      </c:catAx>
      <c:valAx>
        <c:axId val="196417839"/>
        <c:scaling>
          <c:orientation val="minMax"/>
        </c:scaling>
        <c:delete val="1"/>
        <c:axPos val="l"/>
        <c:numFmt formatCode="General" sourceLinked="1"/>
        <c:majorTickMark val="none"/>
        <c:minorTickMark val="none"/>
        <c:tickLblPos val="nextTo"/>
        <c:crossAx val="3183095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331470</xdr:colOff>
      <xdr:row>1</xdr:row>
      <xdr:rowOff>144780</xdr:rowOff>
    </xdr:from>
    <xdr:to>
      <xdr:col>10</xdr:col>
      <xdr:colOff>26670</xdr:colOff>
      <xdr:row>16</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259086</xdr:colOff>
      <xdr:row>1</xdr:row>
      <xdr:rowOff>95250</xdr:rowOff>
    </xdr:from>
    <xdr:to>
      <xdr:col>9</xdr:col>
      <xdr:colOff>563886</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2</xdr:row>
      <xdr:rowOff>95250</xdr:rowOff>
    </xdr:from>
    <xdr:to>
      <xdr:col>7</xdr:col>
      <xdr:colOff>72390</xdr:colOff>
      <xdr:row>17</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164868</xdr:rowOff>
    </xdr:from>
    <xdr:to>
      <xdr:col>0</xdr:col>
      <xdr:colOff>3282142</xdr:colOff>
      <xdr:row>23</xdr:row>
      <xdr:rowOff>30788</xdr:rowOff>
    </xdr:to>
    <xdr:sp macro="" textlink="">
      <xdr:nvSpPr>
        <xdr:cNvPr id="2" name="TextBox 1"/>
        <xdr:cNvSpPr txBox="1"/>
      </xdr:nvSpPr>
      <xdr:spPr>
        <a:xfrm>
          <a:off x="0" y="3005050"/>
          <a:ext cx="3282142" cy="1528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Majority of employees (48%) fall under the Average Performer category, while 40% are High Performers. Only 12% are Low Performers. This indicates overall stable workforce performance with strong potential for leadership development.</a:t>
          </a:r>
        </a:p>
      </xdr:txBody>
    </xdr:sp>
    <xdr:clientData/>
  </xdr:twoCellAnchor>
  <xdr:twoCellAnchor>
    <xdr:from>
      <xdr:col>0</xdr:col>
      <xdr:colOff>0</xdr:colOff>
      <xdr:row>2</xdr:row>
      <xdr:rowOff>15395</xdr:rowOff>
    </xdr:from>
    <xdr:to>
      <xdr:col>0</xdr:col>
      <xdr:colOff>3563696</xdr:colOff>
      <xdr:row>14</xdr:row>
      <xdr:rowOff>161636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3571394</xdr:colOff>
      <xdr:row>2</xdr:row>
      <xdr:rowOff>0</xdr:rowOff>
    </xdr:from>
    <xdr:to>
      <xdr:col>1</xdr:col>
      <xdr:colOff>3027218</xdr:colOff>
      <xdr:row>14</xdr:row>
      <xdr:rowOff>161636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3579091</xdr:colOff>
      <xdr:row>14</xdr:row>
      <xdr:rowOff>146243</xdr:rowOff>
    </xdr:from>
    <xdr:to>
      <xdr:col>1</xdr:col>
      <xdr:colOff>2786304</xdr:colOff>
      <xdr:row>23</xdr:row>
      <xdr:rowOff>161637</xdr:rowOff>
    </xdr:to>
    <xdr:sp macro="" textlink="">
      <xdr:nvSpPr>
        <xdr:cNvPr id="5" name="TextBox 4"/>
        <xdr:cNvSpPr txBox="1"/>
      </xdr:nvSpPr>
      <xdr:spPr>
        <a:xfrm>
          <a:off x="3579091" y="2986425"/>
          <a:ext cx="3963940" cy="1677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workforce distribution across departments appears balanced. However, strategic hiring decisions can be made based on business expansion needs.</a:t>
          </a:r>
        </a:p>
      </xdr:txBody>
    </xdr:sp>
    <xdr:clientData/>
  </xdr:twoCellAnchor>
  <xdr:twoCellAnchor>
    <xdr:from>
      <xdr:col>1</xdr:col>
      <xdr:colOff>3020291</xdr:colOff>
      <xdr:row>2</xdr:row>
      <xdr:rowOff>0</xdr:rowOff>
    </xdr:from>
    <xdr:to>
      <xdr:col>3</xdr:col>
      <xdr:colOff>547254</xdr:colOff>
      <xdr:row>14</xdr:row>
      <xdr:rowOff>159327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72.186528472223" createdVersion="6" refreshedVersion="6" minRefreshableVersion="3" recordCount="25">
  <cacheSource type="worksheet">
    <worksheetSource name="Table1"/>
  </cacheSource>
  <cacheFields count="11">
    <cacheField name="EmpID" numFmtId="0">
      <sharedItems containsSemiMixedTypes="0" containsString="0" containsNumber="1" containsInteger="1" minValue="101" maxValue="125"/>
    </cacheField>
    <cacheField name="Dept" numFmtId="0">
      <sharedItems count="5">
        <s v="Digital"/>
        <s v="Operationl"/>
        <s v="Risk"/>
        <s v="HR"/>
        <s v="Retail"/>
      </sharedItems>
    </cacheField>
    <cacheField name="Role" numFmtId="0">
      <sharedItems/>
    </cacheField>
    <cacheField name="Age" numFmtId="0">
      <sharedItems containsSemiMixedTypes="0" containsString="0" containsNumber="1" containsInteger="1" minValue="23" maxValue="40"/>
    </cacheField>
    <cacheField name="Experience" numFmtId="0">
      <sharedItems containsSemiMixedTypes="0" containsString="0" containsNumber="1" containsInteger="1" minValue="1" maxValue="6"/>
    </cacheField>
    <cacheField name="Salary" numFmtId="0">
      <sharedItems containsSemiMixedTypes="0" containsString="0" containsNumber="1" containsInteger="1" minValue="32000" maxValue="500000"/>
    </cacheField>
    <cacheField name="PerformanceScore" numFmtId="0">
      <sharedItems containsSemiMixedTypes="0" containsString="0" containsNumber="1" containsInteger="1" minValue="50" maxValue="97"/>
    </cacheField>
    <cacheField name="Tenure" numFmtId="0">
      <sharedItems containsSemiMixedTypes="0" containsString="0" containsNumber="1" containsInteger="1" minValue="1" maxValue="6"/>
    </cacheField>
    <cacheField name="TrainingHours" numFmtId="0">
      <sharedItems containsSemiMixedTypes="0" containsString="0" containsNumber="1" containsInteger="1" minValue="10" maxValue="30"/>
    </cacheField>
    <cacheField name="PerformanceLevel" numFmtId="0">
      <sharedItems count="3">
        <s v="High Performer"/>
        <s v="Average Performer"/>
        <s v="Low Performer"/>
      </sharedItems>
    </cacheField>
    <cacheField name="AttritionRisk_x000a_" numFmtId="0">
      <sharedItems count="2">
        <s v="Low Risk"/>
        <s v="High Ris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
  <r>
    <n v="101"/>
    <x v="0"/>
    <s v="Data Executive "/>
    <n v="26"/>
    <n v="3"/>
    <n v="420000"/>
    <n v="82"/>
    <n v="2"/>
    <n v="20"/>
    <x v="0"/>
    <x v="0"/>
  </r>
  <r>
    <n v="102"/>
    <x v="1"/>
    <s v="Analyst"/>
    <n v="29"/>
    <n v="5"/>
    <n v="380000"/>
    <n v="60"/>
    <n v="4"/>
    <n v="10"/>
    <x v="1"/>
    <x v="1"/>
  </r>
  <r>
    <n v="103"/>
    <x v="0"/>
    <s v="Data Executive"/>
    <n v="24"/>
    <n v="2"/>
    <n v="500000"/>
    <n v="88"/>
    <n v="1"/>
    <n v="30"/>
    <x v="0"/>
    <x v="0"/>
  </r>
  <r>
    <n v="104"/>
    <x v="2"/>
    <s v="Risk Officer"/>
    <n v="30"/>
    <n v="3"/>
    <n v="40000"/>
    <n v="73"/>
    <n v="5"/>
    <n v="25"/>
    <x v="1"/>
    <x v="0"/>
  </r>
  <r>
    <n v="105"/>
    <x v="3"/>
    <s v="Hiring"/>
    <n v="25"/>
    <n v="1"/>
    <n v="33000"/>
    <n v="89"/>
    <n v="3"/>
    <n v="28"/>
    <x v="0"/>
    <x v="0"/>
  </r>
  <r>
    <n v="106"/>
    <x v="4"/>
    <s v="Relationship Manager "/>
    <n v="27"/>
    <n v="2"/>
    <n v="35000"/>
    <n v="54"/>
    <n v="2"/>
    <n v="20"/>
    <x v="2"/>
    <x v="0"/>
  </r>
  <r>
    <n v="107"/>
    <x v="0"/>
    <s v="Data Executive"/>
    <n v="26"/>
    <n v="1"/>
    <n v="34000"/>
    <n v="67"/>
    <n v="1"/>
    <n v="30"/>
    <x v="1"/>
    <x v="0"/>
  </r>
  <r>
    <n v="108"/>
    <x v="1"/>
    <s v="Analyst"/>
    <n v="29"/>
    <n v="1"/>
    <n v="38000"/>
    <n v="90"/>
    <n v="4"/>
    <n v="10"/>
    <x v="0"/>
    <x v="0"/>
  </r>
  <r>
    <n v="109"/>
    <x v="2"/>
    <s v="Risk Officer"/>
    <n v="28"/>
    <n v="4"/>
    <n v="45000"/>
    <n v="73"/>
    <n v="5"/>
    <n v="25"/>
    <x v="1"/>
    <x v="0"/>
  </r>
  <r>
    <n v="110"/>
    <x v="4"/>
    <s v="Cashier"/>
    <n v="34"/>
    <n v="1"/>
    <n v="32000"/>
    <n v="87"/>
    <n v="2"/>
    <n v="15"/>
    <x v="0"/>
    <x v="0"/>
  </r>
  <r>
    <n v="111"/>
    <x v="3"/>
    <s v="Hiring"/>
    <n v="30"/>
    <n v="2"/>
    <n v="39000"/>
    <n v="78"/>
    <n v="3"/>
    <n v="28"/>
    <x v="1"/>
    <x v="0"/>
  </r>
  <r>
    <n v="112"/>
    <x v="4"/>
    <s v="Cashier"/>
    <n v="29"/>
    <n v="1"/>
    <n v="36000"/>
    <n v="95"/>
    <n v="2"/>
    <n v="15"/>
    <x v="0"/>
    <x v="0"/>
  </r>
  <r>
    <n v="113"/>
    <x v="0"/>
    <s v="Data Executive"/>
    <n v="31"/>
    <n v="5"/>
    <n v="40000"/>
    <n v="55"/>
    <n v="1"/>
    <n v="30"/>
    <x v="2"/>
    <x v="0"/>
  </r>
  <r>
    <n v="114"/>
    <x v="3"/>
    <s v="Hiring"/>
    <n v="24"/>
    <n v="3"/>
    <n v="38000"/>
    <n v="69"/>
    <n v="3"/>
    <n v="28"/>
    <x v="1"/>
    <x v="0"/>
  </r>
  <r>
    <n v="115"/>
    <x v="1"/>
    <s v="Analyst"/>
    <n v="33"/>
    <n v="2"/>
    <n v="43000"/>
    <n v="86"/>
    <n v="4"/>
    <n v="10"/>
    <x v="0"/>
    <x v="0"/>
  </r>
  <r>
    <n v="116"/>
    <x v="1"/>
    <s v="Senior Analyst"/>
    <n v="27"/>
    <n v="4"/>
    <n v="48000"/>
    <n v="50"/>
    <n v="6"/>
    <n v="18"/>
    <x v="2"/>
    <x v="1"/>
  </r>
  <r>
    <n v="117"/>
    <x v="3"/>
    <s v="Hiring"/>
    <n v="28"/>
    <n v="1"/>
    <n v="32000"/>
    <n v="66"/>
    <n v="3"/>
    <n v="28"/>
    <x v="1"/>
    <x v="0"/>
  </r>
  <r>
    <n v="118"/>
    <x v="2"/>
    <s v="Risk Manager"/>
    <n v="40"/>
    <n v="2"/>
    <n v="50000"/>
    <n v="72"/>
    <n v="4"/>
    <n v="23"/>
    <x v="1"/>
    <x v="0"/>
  </r>
  <r>
    <n v="119"/>
    <x v="2"/>
    <s v="Risk Officer"/>
    <n v="37"/>
    <n v="4"/>
    <n v="60000"/>
    <n v="91"/>
    <n v="5"/>
    <n v="25"/>
    <x v="0"/>
    <x v="0"/>
  </r>
  <r>
    <n v="120"/>
    <x v="3"/>
    <s v="Hiring"/>
    <n v="23"/>
    <n v="2"/>
    <n v="34000"/>
    <n v="60"/>
    <n v="3"/>
    <n v="28"/>
    <x v="1"/>
    <x v="1"/>
  </r>
  <r>
    <n v="121"/>
    <x v="4"/>
    <s v="Relationship Manager "/>
    <n v="34"/>
    <n v="3"/>
    <n v="38000"/>
    <n v="79"/>
    <n v="2"/>
    <n v="20"/>
    <x v="1"/>
    <x v="0"/>
  </r>
  <r>
    <n v="122"/>
    <x v="2"/>
    <s v="Risk Manager"/>
    <n v="28"/>
    <n v="6"/>
    <n v="68000"/>
    <n v="84"/>
    <n v="4"/>
    <n v="23"/>
    <x v="0"/>
    <x v="0"/>
  </r>
  <r>
    <n v="123"/>
    <x v="0"/>
    <s v="Data Executive"/>
    <n v="36"/>
    <n v="2"/>
    <n v="40000"/>
    <n v="69"/>
    <n v="1"/>
    <n v="30"/>
    <x v="1"/>
    <x v="0"/>
  </r>
  <r>
    <n v="124"/>
    <x v="0"/>
    <s v="Data Executive"/>
    <n v="25"/>
    <n v="3"/>
    <n v="40000"/>
    <n v="76"/>
    <n v="1"/>
    <n v="30"/>
    <x v="1"/>
    <x v="0"/>
  </r>
  <r>
    <n v="125"/>
    <x v="1"/>
    <s v="Senior Analyst"/>
    <n v="26"/>
    <n v="5"/>
    <n v="70000"/>
    <n v="97"/>
    <n v="6"/>
    <n v="1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1">
    <pivotField dataField="1" showAll="0"/>
    <pivotField axis="axisRow" showAll="0">
      <items count="6">
        <item x="0"/>
        <item x="3"/>
        <item x="1"/>
        <item x="4"/>
        <item x="2"/>
        <item t="default"/>
      </items>
    </pivotField>
    <pivotField showAll="0"/>
    <pivotField showAll="0"/>
    <pivotField showAll="0"/>
    <pivotField showAll="0"/>
    <pivotField showAll="0"/>
    <pivotField showAll="0"/>
    <pivotField showAll="0"/>
    <pivotField showAll="0" defaultSubtotal="0"/>
    <pivotField showAll="0" defaultSubtotal="0"/>
  </pivotFields>
  <rowFields count="1">
    <field x="1"/>
  </rowFields>
  <rowItems count="6">
    <i>
      <x/>
    </i>
    <i>
      <x v="1"/>
    </i>
    <i>
      <x v="2"/>
    </i>
    <i>
      <x v="3"/>
    </i>
    <i>
      <x v="4"/>
    </i>
    <i t="grand">
      <x/>
    </i>
  </rowItems>
  <colItems count="1">
    <i/>
  </colItems>
  <dataFields count="1">
    <dataField name="Count of EmpID" fld="0" subtotal="count" baseField="1" baseItem="0"/>
  </dataField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1">
    <pivotField dataField="1" showAll="0"/>
    <pivotField showAll="0"/>
    <pivotField showAll="0"/>
    <pivotField showAll="0"/>
    <pivotField showAll="0"/>
    <pivotField showAll="0"/>
    <pivotField showAll="0"/>
    <pivotField showAll="0"/>
    <pivotField showAll="0"/>
    <pivotField axis="axisRow" showAll="0" defaultSubtotal="0">
      <items count="3">
        <item x="1"/>
        <item x="0"/>
        <item x="2"/>
      </items>
    </pivotField>
    <pivotField showAll="0" defaultSubtotal="0"/>
  </pivotFields>
  <rowFields count="1">
    <field x="9"/>
  </rowFields>
  <rowItems count="4">
    <i>
      <x/>
    </i>
    <i>
      <x v="1"/>
    </i>
    <i>
      <x v="2"/>
    </i>
    <i t="grand">
      <x/>
    </i>
  </rowItems>
  <colItems count="1">
    <i/>
  </colItems>
  <dataFields count="1">
    <dataField name="Count of EmpID" fld="0" subtotal="count" baseField="9" baseItem="0"/>
  </dataFields>
  <chartFormats count="8">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6"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defaultSubtotal="0">
      <items count="2">
        <item x="1"/>
        <item x="0"/>
      </items>
    </pivotField>
  </pivotFields>
  <rowFields count="1">
    <field x="10"/>
  </rowFields>
  <rowItems count="3">
    <i>
      <x/>
    </i>
    <i>
      <x v="1"/>
    </i>
    <i t="grand">
      <x/>
    </i>
  </rowItems>
  <colItems count="1">
    <i/>
  </colItems>
  <dataFields count="1">
    <dataField name="Count of EmpID" fld="0" subtotal="count" baseField="10" baseItem="0"/>
  </dataFields>
  <chartFormats count="6">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K26" totalsRowShown="0" headerRowDxfId="12" dataDxfId="11">
  <autoFilter ref="A1:K26"/>
  <tableColumns count="11">
    <tableColumn id="1" name="EmpID" dataDxfId="10"/>
    <tableColumn id="2" name="Dept" dataDxfId="9"/>
    <tableColumn id="3" name="Role" dataDxfId="8"/>
    <tableColumn id="4" name="Age" dataDxfId="7"/>
    <tableColumn id="5" name="Experience" dataDxfId="6"/>
    <tableColumn id="6" name="Salary" dataDxfId="5"/>
    <tableColumn id="7" name="PerformanceScore" dataDxfId="4"/>
    <tableColumn id="8" name="Tenure" dataDxfId="3"/>
    <tableColumn id="9" name="TrainingHours" dataDxfId="2"/>
    <tableColumn id="10" name="PerformanceLevel" dataDxfId="1">
      <calculatedColumnFormula>IF(G2&gt;=80,"High Performer",IF(G2&gt;=60,"Average Performer","Low Performer"))</calculatedColumnFormula>
    </tableColumn>
    <tableColumn id="11" name="AttritionRisk_x000a_" dataDxfId="0">
      <calculatedColumnFormula>IF(AND(H2&gt;=3,G2&lt;65),"High Risk","Low Risk")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1" sqref="O1"/>
    </sheetView>
  </sheetViews>
  <sheetFormatPr defaultRowHeight="14.4" x14ac:dyDescent="0.3"/>
  <cols>
    <col min="1" max="1" width="12.5546875" customWidth="1"/>
    <col min="2" max="2" width="14.44140625" bestFit="1" customWidth="1"/>
  </cols>
  <sheetData>
    <row r="3" spans="1:2" x14ac:dyDescent="0.3">
      <c r="A3" s="4" t="s">
        <v>23</v>
      </c>
      <c r="B3" t="s">
        <v>25</v>
      </c>
    </row>
    <row r="4" spans="1:2" x14ac:dyDescent="0.3">
      <c r="A4" s="5" t="s">
        <v>10</v>
      </c>
      <c r="B4" s="3">
        <v>6</v>
      </c>
    </row>
    <row r="5" spans="1:2" x14ac:dyDescent="0.3">
      <c r="A5" s="5" t="s">
        <v>14</v>
      </c>
      <c r="B5" s="3">
        <v>5</v>
      </c>
    </row>
    <row r="6" spans="1:2" x14ac:dyDescent="0.3">
      <c r="A6" s="5" t="s">
        <v>15</v>
      </c>
      <c r="B6" s="3">
        <v>5</v>
      </c>
    </row>
    <row r="7" spans="1:2" x14ac:dyDescent="0.3">
      <c r="A7" s="5" t="s">
        <v>8</v>
      </c>
      <c r="B7" s="3">
        <v>4</v>
      </c>
    </row>
    <row r="8" spans="1:2" x14ac:dyDescent="0.3">
      <c r="A8" s="5" t="s">
        <v>13</v>
      </c>
      <c r="B8" s="3">
        <v>5</v>
      </c>
    </row>
    <row r="9" spans="1:2" x14ac:dyDescent="0.3">
      <c r="A9" s="5" t="s">
        <v>24</v>
      </c>
      <c r="B9" s="3">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18" sqref="M18"/>
    </sheetView>
  </sheetViews>
  <sheetFormatPr defaultRowHeight="14.4" x14ac:dyDescent="0.3"/>
  <cols>
    <col min="1" max="1" width="16.44140625" bestFit="1" customWidth="1"/>
    <col min="2" max="2" width="14.44140625" bestFit="1" customWidth="1"/>
  </cols>
  <sheetData>
    <row r="3" spans="1:2" x14ac:dyDescent="0.3">
      <c r="A3" s="4" t="s">
        <v>23</v>
      </c>
      <c r="B3" t="s">
        <v>25</v>
      </c>
    </row>
    <row r="4" spans="1:2" x14ac:dyDescent="0.3">
      <c r="A4" s="5" t="s">
        <v>28</v>
      </c>
      <c r="B4" s="3">
        <v>12</v>
      </c>
    </row>
    <row r="5" spans="1:2" x14ac:dyDescent="0.3">
      <c r="A5" s="5" t="s">
        <v>29</v>
      </c>
      <c r="B5" s="3">
        <v>10</v>
      </c>
    </row>
    <row r="6" spans="1:2" x14ac:dyDescent="0.3">
      <c r="A6" s="5" t="s">
        <v>30</v>
      </c>
      <c r="B6" s="3">
        <v>3</v>
      </c>
    </row>
    <row r="7" spans="1:2" x14ac:dyDescent="0.3">
      <c r="A7" s="5" t="s">
        <v>24</v>
      </c>
      <c r="B7" s="3">
        <v>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4" workbookViewId="0">
      <selection activeCell="F31" sqref="F31"/>
    </sheetView>
  </sheetViews>
  <sheetFormatPr defaultRowHeight="14.4" x14ac:dyDescent="0.3"/>
  <cols>
    <col min="1" max="1" width="12.5546875" bestFit="1" customWidth="1"/>
    <col min="2" max="2" width="14.44140625" bestFit="1" customWidth="1"/>
  </cols>
  <sheetData>
    <row r="3" spans="1:2" x14ac:dyDescent="0.3">
      <c r="A3" s="4" t="s">
        <v>23</v>
      </c>
      <c r="B3" t="s">
        <v>25</v>
      </c>
    </row>
    <row r="4" spans="1:2" x14ac:dyDescent="0.3">
      <c r="A4" s="5" t="s">
        <v>32</v>
      </c>
      <c r="B4" s="3">
        <v>3</v>
      </c>
    </row>
    <row r="5" spans="1:2" x14ac:dyDescent="0.3">
      <c r="A5" s="5" t="s">
        <v>33</v>
      </c>
      <c r="B5" s="3">
        <v>22</v>
      </c>
    </row>
    <row r="6" spans="1:2" x14ac:dyDescent="0.3">
      <c r="A6" s="5" t="s">
        <v>24</v>
      </c>
      <c r="B6" s="3">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zoomScale="150" zoomScaleNormal="150" workbookViewId="0">
      <selection activeCell="C1" sqref="C1:C1048576"/>
    </sheetView>
  </sheetViews>
  <sheetFormatPr defaultRowHeight="14.4" x14ac:dyDescent="0.3"/>
  <cols>
    <col min="2" max="2" width="9.44140625" bestFit="1" customWidth="1"/>
    <col min="3" max="3" width="10.77734375" customWidth="1"/>
    <col min="5" max="5" width="11" customWidth="1"/>
    <col min="7" max="7" width="17.33203125" customWidth="1"/>
    <col min="9" max="9" width="13.6640625" customWidth="1"/>
    <col min="10" max="10" width="17.21875" bestFit="1" customWidth="1"/>
    <col min="11" max="11" width="12.44140625" bestFit="1" customWidth="1"/>
  </cols>
  <sheetData>
    <row r="1" spans="1:11" ht="28.8" x14ac:dyDescent="0.3">
      <c r="A1" s="2" t="s">
        <v>12</v>
      </c>
      <c r="B1" s="2" t="s">
        <v>0</v>
      </c>
      <c r="C1" s="2" t="s">
        <v>1</v>
      </c>
      <c r="D1" s="2" t="s">
        <v>2</v>
      </c>
      <c r="E1" s="2" t="s">
        <v>3</v>
      </c>
      <c r="F1" s="2" t="s">
        <v>4</v>
      </c>
      <c r="G1" s="2" t="s">
        <v>5</v>
      </c>
      <c r="H1" s="2" t="s">
        <v>6</v>
      </c>
      <c r="I1" s="2" t="s">
        <v>7</v>
      </c>
      <c r="J1" s="6" t="s">
        <v>27</v>
      </c>
      <c r="K1" s="6" t="s">
        <v>31</v>
      </c>
    </row>
    <row r="2" spans="1:11" ht="28.8" x14ac:dyDescent="0.3">
      <c r="A2" s="1">
        <v>101</v>
      </c>
      <c r="B2" s="1" t="s">
        <v>10</v>
      </c>
      <c r="C2" s="1" t="s">
        <v>26</v>
      </c>
      <c r="D2" s="1">
        <v>26</v>
      </c>
      <c r="E2" s="1">
        <v>3</v>
      </c>
      <c r="F2" s="1">
        <v>420000</v>
      </c>
      <c r="G2" s="1">
        <v>82</v>
      </c>
      <c r="H2" s="1">
        <v>2</v>
      </c>
      <c r="I2" s="1">
        <v>20</v>
      </c>
      <c r="J2" s="1" t="str">
        <f>IF(G2&gt;=80,"High Performer",IF(G2&gt;=60,"Average Performer","Low Performer"))</f>
        <v>High Performer</v>
      </c>
      <c r="K2" s="1" t="str">
        <f t="shared" ref="K2:K26" si="0">IF(AND(H2&gt;=3,G2&lt;65),"High Risk","Low Risk")</f>
        <v>Low Risk</v>
      </c>
    </row>
    <row r="3" spans="1:11" ht="28.8" x14ac:dyDescent="0.3">
      <c r="A3" s="1">
        <v>102</v>
      </c>
      <c r="B3" s="1" t="s">
        <v>15</v>
      </c>
      <c r="C3" s="1" t="s">
        <v>9</v>
      </c>
      <c r="D3" s="1">
        <v>29</v>
      </c>
      <c r="E3" s="1">
        <v>5</v>
      </c>
      <c r="F3" s="1">
        <v>380000</v>
      </c>
      <c r="G3" s="1">
        <v>60</v>
      </c>
      <c r="H3" s="1">
        <v>4</v>
      </c>
      <c r="I3" s="1">
        <v>10</v>
      </c>
      <c r="J3" s="1" t="str">
        <f t="shared" ref="J3:J26" si="1">IF(G3&gt;=80,"High Performer",IF(G3&gt;=60,"Average Performer","Low Performer"))</f>
        <v>Average Performer</v>
      </c>
      <c r="K3" s="1" t="str">
        <f t="shared" si="0"/>
        <v>High Risk</v>
      </c>
    </row>
    <row r="4" spans="1:11" ht="28.8" x14ac:dyDescent="0.3">
      <c r="A4" s="1">
        <v>103</v>
      </c>
      <c r="B4" s="1" t="s">
        <v>10</v>
      </c>
      <c r="C4" s="1" t="s">
        <v>16</v>
      </c>
      <c r="D4" s="1">
        <v>24</v>
      </c>
      <c r="E4" s="1">
        <v>2</v>
      </c>
      <c r="F4" s="1">
        <v>500000</v>
      </c>
      <c r="G4" s="1">
        <v>88</v>
      </c>
      <c r="H4" s="1">
        <v>1</v>
      </c>
      <c r="I4" s="1">
        <v>30</v>
      </c>
      <c r="J4" s="1" t="str">
        <f t="shared" si="1"/>
        <v>High Performer</v>
      </c>
      <c r="K4" s="1" t="str">
        <f t="shared" si="0"/>
        <v>Low Risk</v>
      </c>
    </row>
    <row r="5" spans="1:11" x14ac:dyDescent="0.3">
      <c r="A5" s="1">
        <v>104</v>
      </c>
      <c r="B5" s="1" t="s">
        <v>13</v>
      </c>
      <c r="C5" s="1" t="s">
        <v>17</v>
      </c>
      <c r="D5" s="1">
        <v>30</v>
      </c>
      <c r="E5" s="1">
        <v>3</v>
      </c>
      <c r="F5" s="1">
        <v>40000</v>
      </c>
      <c r="G5" s="1">
        <v>73</v>
      </c>
      <c r="H5" s="1">
        <v>5</v>
      </c>
      <c r="I5" s="1">
        <v>25</v>
      </c>
      <c r="J5" s="1" t="str">
        <f t="shared" si="1"/>
        <v>Average Performer</v>
      </c>
      <c r="K5" s="1" t="str">
        <f t="shared" si="0"/>
        <v>Low Risk</v>
      </c>
    </row>
    <row r="6" spans="1:11" x14ac:dyDescent="0.3">
      <c r="A6" s="1">
        <v>105</v>
      </c>
      <c r="B6" s="1" t="s">
        <v>14</v>
      </c>
      <c r="C6" s="1" t="s">
        <v>19</v>
      </c>
      <c r="D6" s="1">
        <v>25</v>
      </c>
      <c r="E6" s="1">
        <v>1</v>
      </c>
      <c r="F6" s="1">
        <v>33000</v>
      </c>
      <c r="G6" s="1">
        <v>89</v>
      </c>
      <c r="H6" s="1">
        <v>3</v>
      </c>
      <c r="I6" s="1">
        <v>28</v>
      </c>
      <c r="J6" s="1" t="str">
        <f t="shared" si="1"/>
        <v>High Performer</v>
      </c>
      <c r="K6" s="1" t="str">
        <f t="shared" si="0"/>
        <v>Low Risk</v>
      </c>
    </row>
    <row r="7" spans="1:11" ht="28.8" x14ac:dyDescent="0.3">
      <c r="A7" s="1">
        <v>106</v>
      </c>
      <c r="B7" s="1" t="s">
        <v>8</v>
      </c>
      <c r="C7" s="1" t="s">
        <v>20</v>
      </c>
      <c r="D7" s="1">
        <v>27</v>
      </c>
      <c r="E7" s="1">
        <v>2</v>
      </c>
      <c r="F7" s="1">
        <v>35000</v>
      </c>
      <c r="G7" s="1">
        <v>54</v>
      </c>
      <c r="H7" s="1">
        <v>2</v>
      </c>
      <c r="I7" s="1">
        <v>20</v>
      </c>
      <c r="J7" s="1" t="str">
        <f t="shared" si="1"/>
        <v>Low Performer</v>
      </c>
      <c r="K7" s="1" t="str">
        <f t="shared" si="0"/>
        <v>Low Risk</v>
      </c>
    </row>
    <row r="8" spans="1:11" ht="28.8" x14ac:dyDescent="0.3">
      <c r="A8" s="1">
        <v>107</v>
      </c>
      <c r="B8" s="1" t="s">
        <v>10</v>
      </c>
      <c r="C8" s="1" t="s">
        <v>16</v>
      </c>
      <c r="D8" s="1">
        <v>26</v>
      </c>
      <c r="E8" s="1">
        <v>1</v>
      </c>
      <c r="F8" s="1">
        <v>34000</v>
      </c>
      <c r="G8" s="1">
        <v>67</v>
      </c>
      <c r="H8" s="1">
        <v>1</v>
      </c>
      <c r="I8" s="1">
        <v>30</v>
      </c>
      <c r="J8" s="1" t="str">
        <f t="shared" si="1"/>
        <v>Average Performer</v>
      </c>
      <c r="K8" s="1" t="str">
        <f t="shared" si="0"/>
        <v>Low Risk</v>
      </c>
    </row>
    <row r="9" spans="1:11" ht="28.8" x14ac:dyDescent="0.3">
      <c r="A9" s="1">
        <v>108</v>
      </c>
      <c r="B9" s="1" t="s">
        <v>15</v>
      </c>
      <c r="C9" s="1" t="s">
        <v>9</v>
      </c>
      <c r="D9" s="1">
        <v>29</v>
      </c>
      <c r="E9" s="1">
        <v>1</v>
      </c>
      <c r="F9" s="1">
        <v>38000</v>
      </c>
      <c r="G9" s="1">
        <v>90</v>
      </c>
      <c r="H9" s="1">
        <v>4</v>
      </c>
      <c r="I9" s="1">
        <v>10</v>
      </c>
      <c r="J9" s="1" t="str">
        <f t="shared" si="1"/>
        <v>High Performer</v>
      </c>
      <c r="K9" s="1" t="str">
        <f t="shared" si="0"/>
        <v>Low Risk</v>
      </c>
    </row>
    <row r="10" spans="1:11" x14ac:dyDescent="0.3">
      <c r="A10" s="1">
        <v>109</v>
      </c>
      <c r="B10" s="1" t="s">
        <v>13</v>
      </c>
      <c r="C10" s="1" t="s">
        <v>17</v>
      </c>
      <c r="D10" s="1">
        <v>28</v>
      </c>
      <c r="E10" s="1">
        <v>4</v>
      </c>
      <c r="F10" s="1">
        <v>45000</v>
      </c>
      <c r="G10" s="1">
        <v>73</v>
      </c>
      <c r="H10" s="1">
        <v>5</v>
      </c>
      <c r="I10" s="1">
        <v>25</v>
      </c>
      <c r="J10" s="1" t="str">
        <f t="shared" si="1"/>
        <v>Average Performer</v>
      </c>
      <c r="K10" s="1" t="str">
        <f t="shared" si="0"/>
        <v>Low Risk</v>
      </c>
    </row>
    <row r="11" spans="1:11" x14ac:dyDescent="0.3">
      <c r="A11" s="1">
        <v>110</v>
      </c>
      <c r="B11" s="1" t="s">
        <v>8</v>
      </c>
      <c r="C11" s="1" t="s">
        <v>18</v>
      </c>
      <c r="D11" s="1">
        <v>34</v>
      </c>
      <c r="E11" s="1">
        <v>1</v>
      </c>
      <c r="F11" s="1">
        <v>32000</v>
      </c>
      <c r="G11" s="1">
        <v>87</v>
      </c>
      <c r="H11" s="1">
        <v>2</v>
      </c>
      <c r="I11" s="1">
        <v>15</v>
      </c>
      <c r="J11" s="1" t="str">
        <f t="shared" si="1"/>
        <v>High Performer</v>
      </c>
      <c r="K11" s="1" t="str">
        <f t="shared" si="0"/>
        <v>Low Risk</v>
      </c>
    </row>
    <row r="12" spans="1:11" x14ac:dyDescent="0.3">
      <c r="A12" s="1">
        <v>111</v>
      </c>
      <c r="B12" s="1" t="s">
        <v>14</v>
      </c>
      <c r="C12" s="1" t="s">
        <v>19</v>
      </c>
      <c r="D12" s="1">
        <v>30</v>
      </c>
      <c r="E12" s="1">
        <v>2</v>
      </c>
      <c r="F12" s="1">
        <v>39000</v>
      </c>
      <c r="G12" s="1">
        <v>78</v>
      </c>
      <c r="H12" s="1">
        <v>3</v>
      </c>
      <c r="I12" s="1">
        <v>28</v>
      </c>
      <c r="J12" s="1" t="str">
        <f t="shared" si="1"/>
        <v>Average Performer</v>
      </c>
      <c r="K12" s="1" t="str">
        <f t="shared" si="0"/>
        <v>Low Risk</v>
      </c>
    </row>
    <row r="13" spans="1:11" x14ac:dyDescent="0.3">
      <c r="A13" s="1">
        <v>112</v>
      </c>
      <c r="B13" s="1" t="s">
        <v>8</v>
      </c>
      <c r="C13" s="1" t="s">
        <v>18</v>
      </c>
      <c r="D13" s="1">
        <v>29</v>
      </c>
      <c r="E13" s="1">
        <v>1</v>
      </c>
      <c r="F13" s="1">
        <v>36000</v>
      </c>
      <c r="G13" s="1">
        <v>95</v>
      </c>
      <c r="H13" s="1">
        <v>2</v>
      </c>
      <c r="I13" s="1">
        <v>15</v>
      </c>
      <c r="J13" s="1" t="str">
        <f t="shared" si="1"/>
        <v>High Performer</v>
      </c>
      <c r="K13" s="1" t="str">
        <f t="shared" si="0"/>
        <v>Low Risk</v>
      </c>
    </row>
    <row r="14" spans="1:11" ht="28.8" x14ac:dyDescent="0.3">
      <c r="A14" s="1">
        <v>113</v>
      </c>
      <c r="B14" s="1" t="s">
        <v>10</v>
      </c>
      <c r="C14" s="1" t="s">
        <v>16</v>
      </c>
      <c r="D14" s="1">
        <v>31</v>
      </c>
      <c r="E14" s="1">
        <v>5</v>
      </c>
      <c r="F14" s="1">
        <v>40000</v>
      </c>
      <c r="G14" s="1">
        <v>55</v>
      </c>
      <c r="H14" s="1">
        <v>1</v>
      </c>
      <c r="I14" s="1">
        <v>30</v>
      </c>
      <c r="J14" s="1" t="str">
        <f t="shared" si="1"/>
        <v>Low Performer</v>
      </c>
      <c r="K14" s="1" t="str">
        <f t="shared" si="0"/>
        <v>Low Risk</v>
      </c>
    </row>
    <row r="15" spans="1:11" x14ac:dyDescent="0.3">
      <c r="A15" s="1">
        <v>114</v>
      </c>
      <c r="B15" s="1" t="s">
        <v>14</v>
      </c>
      <c r="C15" s="1" t="s">
        <v>19</v>
      </c>
      <c r="D15" s="1">
        <v>24</v>
      </c>
      <c r="E15" s="1">
        <v>3</v>
      </c>
      <c r="F15" s="1">
        <v>38000</v>
      </c>
      <c r="G15" s="1">
        <v>69</v>
      </c>
      <c r="H15" s="1">
        <v>3</v>
      </c>
      <c r="I15" s="1">
        <v>28</v>
      </c>
      <c r="J15" s="1" t="str">
        <f t="shared" si="1"/>
        <v>Average Performer</v>
      </c>
      <c r="K15" s="1" t="str">
        <f t="shared" si="0"/>
        <v>Low Risk</v>
      </c>
    </row>
    <row r="16" spans="1:11" ht="28.8" x14ac:dyDescent="0.3">
      <c r="A16" s="1">
        <v>115</v>
      </c>
      <c r="B16" s="1" t="s">
        <v>15</v>
      </c>
      <c r="C16" s="1" t="s">
        <v>9</v>
      </c>
      <c r="D16" s="1">
        <v>33</v>
      </c>
      <c r="E16" s="1">
        <v>2</v>
      </c>
      <c r="F16" s="1">
        <v>43000</v>
      </c>
      <c r="G16" s="1">
        <v>86</v>
      </c>
      <c r="H16" s="1">
        <v>4</v>
      </c>
      <c r="I16" s="1">
        <v>10</v>
      </c>
      <c r="J16" s="1" t="str">
        <f t="shared" si="1"/>
        <v>High Performer</v>
      </c>
      <c r="K16" s="1" t="str">
        <f t="shared" si="0"/>
        <v>Low Risk</v>
      </c>
    </row>
    <row r="17" spans="1:11" ht="28.8" x14ac:dyDescent="0.3">
      <c r="A17" s="1">
        <v>116</v>
      </c>
      <c r="B17" s="1" t="s">
        <v>15</v>
      </c>
      <c r="C17" s="1" t="s">
        <v>22</v>
      </c>
      <c r="D17" s="1">
        <v>27</v>
      </c>
      <c r="E17" s="1">
        <v>4</v>
      </c>
      <c r="F17" s="1">
        <v>48000</v>
      </c>
      <c r="G17" s="1">
        <v>50</v>
      </c>
      <c r="H17" s="1">
        <v>6</v>
      </c>
      <c r="I17" s="1">
        <v>18</v>
      </c>
      <c r="J17" s="1" t="str">
        <f t="shared" si="1"/>
        <v>Low Performer</v>
      </c>
      <c r="K17" s="1" t="str">
        <f t="shared" si="0"/>
        <v>High Risk</v>
      </c>
    </row>
    <row r="18" spans="1:11" x14ac:dyDescent="0.3">
      <c r="A18" s="1">
        <v>117</v>
      </c>
      <c r="B18" s="1" t="s">
        <v>14</v>
      </c>
      <c r="C18" s="1" t="s">
        <v>19</v>
      </c>
      <c r="D18" s="1">
        <v>28</v>
      </c>
      <c r="E18" s="1">
        <v>1</v>
      </c>
      <c r="F18" s="1">
        <v>32000</v>
      </c>
      <c r="G18" s="1">
        <v>66</v>
      </c>
      <c r="H18" s="1">
        <v>3</v>
      </c>
      <c r="I18" s="1">
        <v>28</v>
      </c>
      <c r="J18" s="1" t="str">
        <f t="shared" si="1"/>
        <v>Average Performer</v>
      </c>
      <c r="K18" s="1" t="str">
        <f t="shared" si="0"/>
        <v>Low Risk</v>
      </c>
    </row>
    <row r="19" spans="1:11" ht="28.8" x14ac:dyDescent="0.3">
      <c r="A19" s="1">
        <v>118</v>
      </c>
      <c r="B19" s="1" t="s">
        <v>13</v>
      </c>
      <c r="C19" s="1" t="s">
        <v>21</v>
      </c>
      <c r="D19" s="1">
        <v>40</v>
      </c>
      <c r="E19" s="1">
        <v>2</v>
      </c>
      <c r="F19" s="1">
        <v>50000</v>
      </c>
      <c r="G19" s="1">
        <v>72</v>
      </c>
      <c r="H19" s="1">
        <v>4</v>
      </c>
      <c r="I19" s="1">
        <v>23</v>
      </c>
      <c r="J19" s="1" t="str">
        <f t="shared" si="1"/>
        <v>Average Performer</v>
      </c>
      <c r="K19" s="1" t="str">
        <f t="shared" si="0"/>
        <v>Low Risk</v>
      </c>
    </row>
    <row r="20" spans="1:11" x14ac:dyDescent="0.3">
      <c r="A20" s="1">
        <v>119</v>
      </c>
      <c r="B20" s="1" t="s">
        <v>13</v>
      </c>
      <c r="C20" s="1" t="s">
        <v>17</v>
      </c>
      <c r="D20" s="1">
        <v>37</v>
      </c>
      <c r="E20" s="1">
        <v>4</v>
      </c>
      <c r="F20" s="1">
        <v>60000</v>
      </c>
      <c r="G20" s="1">
        <v>91</v>
      </c>
      <c r="H20" s="1">
        <v>5</v>
      </c>
      <c r="I20" s="1">
        <v>25</v>
      </c>
      <c r="J20" s="1" t="str">
        <f t="shared" si="1"/>
        <v>High Performer</v>
      </c>
      <c r="K20" s="1" t="str">
        <f t="shared" si="0"/>
        <v>Low Risk</v>
      </c>
    </row>
    <row r="21" spans="1:11" x14ac:dyDescent="0.3">
      <c r="A21" s="1">
        <v>120</v>
      </c>
      <c r="B21" s="1" t="s">
        <v>14</v>
      </c>
      <c r="C21" s="1" t="s">
        <v>19</v>
      </c>
      <c r="D21" s="1">
        <v>23</v>
      </c>
      <c r="E21" s="1">
        <v>2</v>
      </c>
      <c r="F21" s="1">
        <v>34000</v>
      </c>
      <c r="G21" s="1">
        <v>60</v>
      </c>
      <c r="H21" s="1">
        <v>3</v>
      </c>
      <c r="I21" s="1">
        <v>28</v>
      </c>
      <c r="J21" s="1" t="str">
        <f t="shared" si="1"/>
        <v>Average Performer</v>
      </c>
      <c r="K21" s="1" t="str">
        <f t="shared" si="0"/>
        <v>High Risk</v>
      </c>
    </row>
    <row r="22" spans="1:11" ht="28.8" x14ac:dyDescent="0.3">
      <c r="A22" s="1">
        <v>121</v>
      </c>
      <c r="B22" s="1" t="s">
        <v>8</v>
      </c>
      <c r="C22" s="1" t="s">
        <v>20</v>
      </c>
      <c r="D22" s="1">
        <v>34</v>
      </c>
      <c r="E22" s="1">
        <v>3</v>
      </c>
      <c r="F22" s="1">
        <v>38000</v>
      </c>
      <c r="G22" s="1">
        <v>79</v>
      </c>
      <c r="H22" s="1">
        <v>2</v>
      </c>
      <c r="I22" s="1">
        <v>20</v>
      </c>
      <c r="J22" s="1" t="str">
        <f t="shared" si="1"/>
        <v>Average Performer</v>
      </c>
      <c r="K22" s="1" t="str">
        <f t="shared" si="0"/>
        <v>Low Risk</v>
      </c>
    </row>
    <row r="23" spans="1:11" ht="28.8" x14ac:dyDescent="0.3">
      <c r="A23" s="1">
        <v>122</v>
      </c>
      <c r="B23" s="1" t="s">
        <v>13</v>
      </c>
      <c r="C23" s="1" t="s">
        <v>21</v>
      </c>
      <c r="D23" s="1">
        <v>28</v>
      </c>
      <c r="E23" s="1">
        <v>6</v>
      </c>
      <c r="F23" s="1">
        <v>68000</v>
      </c>
      <c r="G23" s="1">
        <v>84</v>
      </c>
      <c r="H23" s="1">
        <v>4</v>
      </c>
      <c r="I23" s="1">
        <v>23</v>
      </c>
      <c r="J23" s="1" t="str">
        <f t="shared" si="1"/>
        <v>High Performer</v>
      </c>
      <c r="K23" s="1" t="str">
        <f t="shared" si="0"/>
        <v>Low Risk</v>
      </c>
    </row>
    <row r="24" spans="1:11" ht="28.8" x14ac:dyDescent="0.3">
      <c r="A24" s="1">
        <v>123</v>
      </c>
      <c r="B24" s="1" t="s">
        <v>10</v>
      </c>
      <c r="C24" s="1" t="s">
        <v>16</v>
      </c>
      <c r="D24" s="1">
        <v>36</v>
      </c>
      <c r="E24" s="1">
        <v>2</v>
      </c>
      <c r="F24" s="1">
        <v>40000</v>
      </c>
      <c r="G24" s="1">
        <v>69</v>
      </c>
      <c r="H24" s="1">
        <v>1</v>
      </c>
      <c r="I24" s="1">
        <v>30</v>
      </c>
      <c r="J24" s="1" t="str">
        <f t="shared" si="1"/>
        <v>Average Performer</v>
      </c>
      <c r="K24" s="1" t="str">
        <f t="shared" si="0"/>
        <v>Low Risk</v>
      </c>
    </row>
    <row r="25" spans="1:11" ht="28.8" x14ac:dyDescent="0.3">
      <c r="A25" s="1">
        <v>124</v>
      </c>
      <c r="B25" s="1" t="s">
        <v>10</v>
      </c>
      <c r="C25" s="1" t="s">
        <v>16</v>
      </c>
      <c r="D25" s="1">
        <v>25</v>
      </c>
      <c r="E25" s="1">
        <v>3</v>
      </c>
      <c r="F25" s="1">
        <v>40000</v>
      </c>
      <c r="G25" s="1">
        <v>76</v>
      </c>
      <c r="H25" s="1">
        <v>1</v>
      </c>
      <c r="I25" s="1">
        <v>30</v>
      </c>
      <c r="J25" s="1" t="str">
        <f t="shared" si="1"/>
        <v>Average Performer</v>
      </c>
      <c r="K25" s="1" t="str">
        <f t="shared" si="0"/>
        <v>Low Risk</v>
      </c>
    </row>
    <row r="26" spans="1:11" ht="28.8" x14ac:dyDescent="0.3">
      <c r="A26" s="1">
        <v>125</v>
      </c>
      <c r="B26" s="1" t="s">
        <v>15</v>
      </c>
      <c r="C26" s="1" t="s">
        <v>22</v>
      </c>
      <c r="D26" s="1">
        <v>26</v>
      </c>
      <c r="E26" s="1">
        <v>5</v>
      </c>
      <c r="F26" s="1">
        <v>70000</v>
      </c>
      <c r="G26" s="1">
        <v>97</v>
      </c>
      <c r="H26" s="1">
        <v>6</v>
      </c>
      <c r="I26" s="1">
        <v>18</v>
      </c>
      <c r="J26" s="1" t="str">
        <f t="shared" si="1"/>
        <v>High Performer</v>
      </c>
      <c r="K26" s="1" t="str">
        <f t="shared" si="0"/>
        <v>Low Risk</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zoomScale="198" zoomScaleNormal="198" workbookViewId="0">
      <selection activeCell="G9" sqref="G9"/>
    </sheetView>
  </sheetViews>
  <sheetFormatPr defaultRowHeight="14.4" x14ac:dyDescent="0.3"/>
  <cols>
    <col min="3" max="3" width="16.21875" customWidth="1"/>
  </cols>
  <sheetData>
    <row r="1" spans="1:7" ht="21" x14ac:dyDescent="0.5">
      <c r="A1" s="10" t="s">
        <v>34</v>
      </c>
      <c r="B1" s="10"/>
      <c r="C1" s="10"/>
      <c r="D1" s="10"/>
      <c r="E1" s="10"/>
      <c r="F1" s="10"/>
      <c r="G1" s="10"/>
    </row>
    <row r="3" spans="1:7" x14ac:dyDescent="0.3">
      <c r="B3" t="s">
        <v>12</v>
      </c>
      <c r="C3" t="s">
        <v>5</v>
      </c>
    </row>
    <row r="4" spans="1:7" x14ac:dyDescent="0.3">
      <c r="B4">
        <v>102</v>
      </c>
      <c r="C4">
        <f>VLOOKUP(B4,Table1[#All],7,0)</f>
        <v>60</v>
      </c>
    </row>
    <row r="5" spans="1:7" x14ac:dyDescent="0.3">
      <c r="B5">
        <v>105</v>
      </c>
      <c r="C5">
        <f>VLOOKUP(B5,Table1[#All],7,0)</f>
        <v>89</v>
      </c>
    </row>
    <row r="6" spans="1:7" x14ac:dyDescent="0.3">
      <c r="B6">
        <v>106</v>
      </c>
      <c r="C6">
        <f>VLOOKUP(B6,Table1[#All],7,0)</f>
        <v>54</v>
      </c>
    </row>
    <row r="7" spans="1:7" x14ac:dyDescent="0.3">
      <c r="B7">
        <v>116</v>
      </c>
      <c r="C7">
        <f>VLOOKUP(B7,Table1[#All],7,0)</f>
        <v>50</v>
      </c>
    </row>
    <row r="8" spans="1:7" x14ac:dyDescent="0.3">
      <c r="B8">
        <v>119</v>
      </c>
      <c r="C8">
        <f>VLOOKUP(B8,Table1[#All],7,0)</f>
        <v>91</v>
      </c>
    </row>
    <row r="9" spans="1:7" x14ac:dyDescent="0.3">
      <c r="B9">
        <v>120</v>
      </c>
      <c r="C9">
        <f>VLOOKUP(B9,Table1[#All],7,0)</f>
        <v>60</v>
      </c>
    </row>
  </sheetData>
  <mergeCells count="1">
    <mergeCell ref="A1:G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showGridLines="0" zoomScale="120" zoomScaleNormal="120" workbookViewId="0">
      <selection activeCell="A5" sqref="A5"/>
    </sheetView>
  </sheetViews>
  <sheetFormatPr defaultRowHeight="14.4" x14ac:dyDescent="0.3"/>
  <cols>
    <col min="1" max="1" width="69.33203125" style="7" customWidth="1"/>
    <col min="2" max="2" width="65.77734375" style="7" customWidth="1"/>
    <col min="3" max="16384" width="8.88671875" style="7"/>
  </cols>
  <sheetData>
    <row r="1" spans="1:4" ht="17.399999999999999" customHeight="1" x14ac:dyDescent="0.3">
      <c r="A1" s="11" t="s">
        <v>11</v>
      </c>
      <c r="B1" s="11"/>
      <c r="C1" s="11"/>
      <c r="D1" s="11"/>
    </row>
    <row r="2" spans="1:4" ht="28.8" customHeight="1" x14ac:dyDescent="0.3">
      <c r="A2" s="11"/>
      <c r="B2" s="11"/>
      <c r="C2" s="11"/>
      <c r="D2" s="11"/>
    </row>
    <row r="4" spans="1:4" ht="15.6" x14ac:dyDescent="0.3">
      <c r="A4" s="8"/>
      <c r="B4" s="9"/>
    </row>
    <row r="5" spans="1:4" ht="15.6" x14ac:dyDescent="0.3">
      <c r="B5" s="9"/>
    </row>
  </sheetData>
  <mergeCells count="1">
    <mergeCell ref="A1:D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tabSelected="1" topLeftCell="A2" workbookViewId="0">
      <selection sqref="A1:W14"/>
    </sheetView>
  </sheetViews>
  <sheetFormatPr defaultRowHeight="14.4" x14ac:dyDescent="0.3"/>
  <sheetData>
    <row r="1" spans="1:23" ht="409.6" customHeight="1" x14ac:dyDescent="0.3">
      <c r="A1" s="12" t="s">
        <v>35</v>
      </c>
      <c r="B1" s="12"/>
      <c r="C1" s="12"/>
      <c r="D1" s="12"/>
      <c r="E1" s="12"/>
      <c r="F1" s="12"/>
      <c r="G1" s="12"/>
      <c r="H1" s="12"/>
      <c r="I1" s="12"/>
      <c r="J1" s="12"/>
      <c r="K1" s="12"/>
      <c r="L1" s="12"/>
      <c r="M1" s="12"/>
      <c r="N1" s="12"/>
      <c r="O1" s="12"/>
      <c r="P1" s="12"/>
      <c r="Q1" s="12"/>
      <c r="R1" s="12"/>
      <c r="S1" s="12"/>
      <c r="T1" s="12"/>
      <c r="U1" s="12"/>
      <c r="V1" s="12"/>
      <c r="W1" s="12"/>
    </row>
    <row r="2" spans="1:23" x14ac:dyDescent="0.3">
      <c r="A2" s="12"/>
      <c r="B2" s="12"/>
      <c r="C2" s="12"/>
      <c r="D2" s="12"/>
      <c r="E2" s="12"/>
      <c r="F2" s="12"/>
      <c r="G2" s="12"/>
      <c r="H2" s="12"/>
      <c r="I2" s="12"/>
      <c r="J2" s="12"/>
      <c r="K2" s="12"/>
      <c r="L2" s="12"/>
      <c r="M2" s="12"/>
      <c r="N2" s="12"/>
      <c r="O2" s="12"/>
      <c r="P2" s="12"/>
      <c r="Q2" s="12"/>
      <c r="R2" s="12"/>
      <c r="S2" s="12"/>
      <c r="T2" s="12"/>
      <c r="U2" s="12"/>
      <c r="V2" s="12"/>
      <c r="W2" s="12"/>
    </row>
    <row r="3" spans="1:23" x14ac:dyDescent="0.3">
      <c r="A3" s="12"/>
      <c r="B3" s="12"/>
      <c r="C3" s="12"/>
      <c r="D3" s="12"/>
      <c r="E3" s="12"/>
      <c r="F3" s="12"/>
      <c r="G3" s="12"/>
      <c r="H3" s="12"/>
      <c r="I3" s="12"/>
      <c r="J3" s="12"/>
      <c r="K3" s="12"/>
      <c r="L3" s="12"/>
      <c r="M3" s="12"/>
      <c r="N3" s="12"/>
      <c r="O3" s="12"/>
      <c r="P3" s="12"/>
      <c r="Q3" s="12"/>
      <c r="R3" s="12"/>
      <c r="S3" s="12"/>
      <c r="T3" s="12"/>
      <c r="U3" s="12"/>
      <c r="V3" s="12"/>
      <c r="W3" s="12"/>
    </row>
    <row r="4" spans="1:23" x14ac:dyDescent="0.3">
      <c r="A4" s="12"/>
      <c r="B4" s="12"/>
      <c r="C4" s="12"/>
      <c r="D4" s="12"/>
      <c r="E4" s="12"/>
      <c r="F4" s="12"/>
      <c r="G4" s="12"/>
      <c r="H4" s="12"/>
      <c r="I4" s="12"/>
      <c r="J4" s="12"/>
      <c r="K4" s="12"/>
      <c r="L4" s="12"/>
      <c r="M4" s="12"/>
      <c r="N4" s="12"/>
      <c r="O4" s="12"/>
      <c r="P4" s="12"/>
      <c r="Q4" s="12"/>
      <c r="R4" s="12"/>
      <c r="S4" s="12"/>
      <c r="T4" s="12"/>
      <c r="U4" s="12"/>
      <c r="V4" s="12"/>
      <c r="W4" s="12"/>
    </row>
    <row r="5" spans="1:23" x14ac:dyDescent="0.3">
      <c r="A5" s="12"/>
      <c r="B5" s="12"/>
      <c r="C5" s="12"/>
      <c r="D5" s="12"/>
      <c r="E5" s="12"/>
      <c r="F5" s="12"/>
      <c r="G5" s="12"/>
      <c r="H5" s="12"/>
      <c r="I5" s="12"/>
      <c r="J5" s="12"/>
      <c r="K5" s="12"/>
      <c r="L5" s="12"/>
      <c r="M5" s="12"/>
      <c r="N5" s="12"/>
      <c r="O5" s="12"/>
      <c r="P5" s="12"/>
      <c r="Q5" s="12"/>
      <c r="R5" s="12"/>
      <c r="S5" s="12"/>
      <c r="T5" s="12"/>
      <c r="U5" s="12"/>
      <c r="V5" s="12"/>
      <c r="W5" s="12"/>
    </row>
    <row r="6" spans="1:23" x14ac:dyDescent="0.3">
      <c r="A6" s="12"/>
      <c r="B6" s="12"/>
      <c r="C6" s="12"/>
      <c r="D6" s="12"/>
      <c r="E6" s="12"/>
      <c r="F6" s="12"/>
      <c r="G6" s="12"/>
      <c r="H6" s="12"/>
      <c r="I6" s="12"/>
      <c r="J6" s="12"/>
      <c r="K6" s="12"/>
      <c r="L6" s="12"/>
      <c r="M6" s="12"/>
      <c r="N6" s="12"/>
      <c r="O6" s="12"/>
      <c r="P6" s="12"/>
      <c r="Q6" s="12"/>
      <c r="R6" s="12"/>
      <c r="S6" s="12"/>
      <c r="T6" s="12"/>
      <c r="U6" s="12"/>
      <c r="V6" s="12"/>
      <c r="W6" s="12"/>
    </row>
    <row r="7" spans="1:23" x14ac:dyDescent="0.3">
      <c r="A7" s="12"/>
      <c r="B7" s="12"/>
      <c r="C7" s="12"/>
      <c r="D7" s="12"/>
      <c r="E7" s="12"/>
      <c r="F7" s="12"/>
      <c r="G7" s="12"/>
      <c r="H7" s="12"/>
      <c r="I7" s="12"/>
      <c r="J7" s="12"/>
      <c r="K7" s="12"/>
      <c r="L7" s="12"/>
      <c r="M7" s="12"/>
      <c r="N7" s="12"/>
      <c r="O7" s="12"/>
      <c r="P7" s="12"/>
      <c r="Q7" s="12"/>
      <c r="R7" s="12"/>
      <c r="S7" s="12"/>
      <c r="T7" s="12"/>
      <c r="U7" s="12"/>
      <c r="V7" s="12"/>
      <c r="W7" s="12"/>
    </row>
    <row r="8" spans="1:23" x14ac:dyDescent="0.3">
      <c r="A8" s="12"/>
      <c r="B8" s="12"/>
      <c r="C8" s="12"/>
      <c r="D8" s="12"/>
      <c r="E8" s="12"/>
      <c r="F8" s="12"/>
      <c r="G8" s="12"/>
      <c r="H8" s="12"/>
      <c r="I8" s="12"/>
      <c r="J8" s="12"/>
      <c r="K8" s="12"/>
      <c r="L8" s="12"/>
      <c r="M8" s="12"/>
      <c r="N8" s="12"/>
      <c r="O8" s="12"/>
      <c r="P8" s="12"/>
      <c r="Q8" s="12"/>
      <c r="R8" s="12"/>
      <c r="S8" s="12"/>
      <c r="T8" s="12"/>
      <c r="U8" s="12"/>
      <c r="V8" s="12"/>
      <c r="W8" s="12"/>
    </row>
    <row r="9" spans="1:23" x14ac:dyDescent="0.3">
      <c r="A9" s="12"/>
      <c r="B9" s="12"/>
      <c r="C9" s="12"/>
      <c r="D9" s="12"/>
      <c r="E9" s="12"/>
      <c r="F9" s="12"/>
      <c r="G9" s="12"/>
      <c r="H9" s="12"/>
      <c r="I9" s="12"/>
      <c r="J9" s="12"/>
      <c r="K9" s="12"/>
      <c r="L9" s="12"/>
      <c r="M9" s="12"/>
      <c r="N9" s="12"/>
      <c r="O9" s="12"/>
      <c r="P9" s="12"/>
      <c r="Q9" s="12"/>
      <c r="R9" s="12"/>
      <c r="S9" s="12"/>
      <c r="T9" s="12"/>
      <c r="U9" s="12"/>
      <c r="V9" s="12"/>
      <c r="W9" s="12"/>
    </row>
    <row r="10" spans="1:23" x14ac:dyDescent="0.3">
      <c r="A10" s="12"/>
      <c r="B10" s="12"/>
      <c r="C10" s="12"/>
      <c r="D10" s="12"/>
      <c r="E10" s="12"/>
      <c r="F10" s="12"/>
      <c r="G10" s="12"/>
      <c r="H10" s="12"/>
      <c r="I10" s="12"/>
      <c r="J10" s="12"/>
      <c r="K10" s="12"/>
      <c r="L10" s="12"/>
      <c r="M10" s="12"/>
      <c r="N10" s="12"/>
      <c r="O10" s="12"/>
      <c r="P10" s="12"/>
      <c r="Q10" s="12"/>
      <c r="R10" s="12"/>
      <c r="S10" s="12"/>
      <c r="T10" s="12"/>
      <c r="U10" s="12"/>
      <c r="V10" s="12"/>
      <c r="W10" s="12"/>
    </row>
    <row r="11" spans="1:23" x14ac:dyDescent="0.3">
      <c r="A11" s="12"/>
      <c r="B11" s="12"/>
      <c r="C11" s="12"/>
      <c r="D11" s="12"/>
      <c r="E11" s="12"/>
      <c r="F11" s="12"/>
      <c r="G11" s="12"/>
      <c r="H11" s="12"/>
      <c r="I11" s="12"/>
      <c r="J11" s="12"/>
      <c r="K11" s="12"/>
      <c r="L11" s="12"/>
      <c r="M11" s="12"/>
      <c r="N11" s="12"/>
      <c r="O11" s="12"/>
      <c r="P11" s="12"/>
      <c r="Q11" s="12"/>
      <c r="R11" s="12"/>
      <c r="S11" s="12"/>
      <c r="T11" s="12"/>
      <c r="U11" s="12"/>
      <c r="V11" s="12"/>
      <c r="W11" s="12"/>
    </row>
    <row r="12" spans="1:23" x14ac:dyDescent="0.3">
      <c r="A12" s="12"/>
      <c r="B12" s="12"/>
      <c r="C12" s="12"/>
      <c r="D12" s="12"/>
      <c r="E12" s="12"/>
      <c r="F12" s="12"/>
      <c r="G12" s="12"/>
      <c r="H12" s="12"/>
      <c r="I12" s="12"/>
      <c r="J12" s="12"/>
      <c r="K12" s="12"/>
      <c r="L12" s="12"/>
      <c r="M12" s="12"/>
      <c r="N12" s="12"/>
      <c r="O12" s="12"/>
      <c r="P12" s="12"/>
      <c r="Q12" s="12"/>
      <c r="R12" s="12"/>
      <c r="S12" s="12"/>
      <c r="T12" s="12"/>
      <c r="U12" s="12"/>
      <c r="V12" s="12"/>
      <c r="W12" s="12"/>
    </row>
    <row r="13" spans="1:23" x14ac:dyDescent="0.3">
      <c r="A13" s="12"/>
      <c r="B13" s="12"/>
      <c r="C13" s="12"/>
      <c r="D13" s="12"/>
      <c r="E13" s="12"/>
      <c r="F13" s="12"/>
      <c r="G13" s="12"/>
      <c r="H13" s="12"/>
      <c r="I13" s="12"/>
      <c r="J13" s="12"/>
      <c r="K13" s="12"/>
      <c r="L13" s="12"/>
      <c r="M13" s="12"/>
      <c r="N13" s="12"/>
      <c r="O13" s="12"/>
      <c r="P13" s="12"/>
      <c r="Q13" s="12"/>
      <c r="R13" s="12"/>
      <c r="S13" s="12"/>
      <c r="T13" s="12"/>
      <c r="U13" s="12"/>
      <c r="V13" s="12"/>
      <c r="W13" s="12"/>
    </row>
    <row r="14" spans="1:23" x14ac:dyDescent="0.3">
      <c r="A14" s="12"/>
      <c r="B14" s="12"/>
      <c r="C14" s="12"/>
      <c r="D14" s="12"/>
      <c r="E14" s="12"/>
      <c r="F14" s="12"/>
      <c r="G14" s="12"/>
      <c r="H14" s="12"/>
      <c r="I14" s="12"/>
      <c r="J14" s="12"/>
      <c r="K14" s="12"/>
      <c r="L14" s="12"/>
      <c r="M14" s="12"/>
      <c r="N14" s="12"/>
      <c r="O14" s="12"/>
      <c r="P14" s="12"/>
      <c r="Q14" s="12"/>
      <c r="R14" s="12"/>
      <c r="S14" s="12"/>
      <c r="T14" s="12"/>
      <c r="U14" s="12"/>
      <c r="V14" s="12"/>
      <c r="W14" s="12"/>
    </row>
  </sheetData>
  <mergeCells count="1">
    <mergeCell ref="A1:W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count_of_employee</vt:lpstr>
      <vt:lpstr>Peformance</vt:lpstr>
      <vt:lpstr>Risk</vt:lpstr>
      <vt:lpstr>Data</vt:lpstr>
      <vt:lpstr>Sheet1</vt:lpstr>
      <vt:lpstr>Report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2026-02-19T10:02:28Z</cp:lastPrinted>
  <dcterms:created xsi:type="dcterms:W3CDTF">2026-02-10T16:27:40Z</dcterms:created>
  <dcterms:modified xsi:type="dcterms:W3CDTF">2026-03-18T15:54:22Z</dcterms:modified>
</cp:coreProperties>
</file>